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ot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<sst xmlns="http://schemas.openxmlformats.org/spreadsheetml/2006/main" uniqueCount="39">
  <si>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7,Sakar plaza,Opp.Malpani Lawans,Ganesh Nagar,College Road,Sangamner 422605</t>
  </si>
  <si>
    <t>Email: primeads2000@gmail.com  |  Phone: +91 9850760739, 7588025403</t>
  </si>
  <si>
    <t>HOARDINGS / POLE KIOSK / BUS SHELTERS / GANTRY / VAN PROMOTION / FLEX PRINTING</t>
  </si>
  <si>
    <t>To,</t>
  </si>
  <si>
    <t>Date - 23-02-2026</t>
  </si>
  <si>
    <t xml:space="preserve">    hmm</t>
  </si>
  <si>
    <t xml:space="preserve">    </t>
  </si>
  <si>
    <t>Sr.
No.</t>
  </si>
  <si>
    <t>Locations</t>
  </si>
  <si>
    <t>Size</t>
  </si>
  <si>
    <t>W</t>
  </si>
  <si>
    <t>H</t>
  </si>
  <si>
    <t>Sqft</t>
  </si>
  <si>
    <t>Costing Days</t>
  </si>
  <si>
    <t>Costing Amount</t>
  </si>
  <si>
    <t>Flex Printing</t>
  </si>
  <si>
    <t>Flex
Mounting</t>
  </si>
  <si>
    <t>Total
Cost</t>
  </si>
  <si>
    <t>Rick</t>
  </si>
  <si>
    <t>https://maps.app.goo.gl/Syh3VwzTNC7Q6B268</t>
  </si>
  <si>
    <t>raytewadi</t>
  </si>
  <si>
    <t>Total</t>
  </si>
  <si>
    <t>Gst 18%</t>
  </si>
  <si>
    <t>Total Amt</t>
  </si>
  <si>
    <t>Terms &amp; Conditions;</t>
  </si>
  <si>
    <t>Mode of Payment: Month on Month ,Printing + Pasting Advance</t>
  </si>
  <si>
    <t>Hoarding Sites are subject to availability.</t>
  </si>
  <si>
    <t>THEFT / LOSS / DAMAGED to Flex due to any reason will not be our responsibility.</t>
  </si>
  <si>
    <t>Flex Mounting charges @ Rs. 3/- Per Sq. Ft.</t>
  </si>
  <si>
    <t>Flex Printing charges @ Rs. 12/- Per Sq. Ft.( Black Back)</t>
  </si>
  <si>
    <t>If we provided Flex, charges will be charged extra as mentioned above.</t>
  </si>
  <si>
    <t>If the party changes flex design of hoarding board are to be made during the contract period.</t>
  </si>
  <si>
    <t>The party are soly responsible to provide flex or flex making charges &amp; pay the above flex mounting charges.</t>
  </si>
  <si>
    <t>Written confirmation is neccesary.</t>
  </si>
  <si>
    <t>GST @18% Extra.</t>
  </si>
  <si>
    <t>Hope We promise you to complete all expectation and this opportunity will leads to the strong and healthy professional relations between the us......</t>
  </si>
  <si>
    <t>Thanks and Regards</t>
  </si>
  <si>
    <t>PRIME Advertising And Marketing</t>
  </si>
  <si>
    <t>Sangamner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</si>
</sst>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E05C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772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8E1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0"/>
    <xf xfId="0" fontId="3" numFmtId="4" fillId="0" borderId="1" applyFont="1" applyNumberFormat="1" applyFill="0" applyBorder="1" applyAlignment="0"/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0"/>
    <xf xfId="0" fontId="3" numFmtId="4" fillId="0" borderId="2" applyFont="1" applyNumberFormat="1" applyFill="0" applyBorder="1" applyAlignment="0"/>
    <xf xfId="0" fontId="3" numFmtId="0" fillId="4" borderId="2" applyFont="1" applyNumberFormat="0" applyFill="1" applyBorder="1" applyAlignment="1">
      <alignment horizontal="right" vertical="bottom" textRotation="0" wrapText="false" shrinkToFit="false"/>
    </xf>
    <xf xfId="0" fontId="3" numFmtId="0" fillId="4" borderId="2" applyFont="1" applyNumberFormat="0" applyFill="1" applyBorder="1" applyAlignment="0"/>
    <xf xfId="0" fontId="3" numFmtId="4" fillId="4" borderId="2" applyFont="1" applyNumberFormat="1" applyFill="1" applyBorder="1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ff368119de942c61f5dc56712b58d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0</xdr:row>
      <xdr:rowOff>0</xdr:rowOff>
    </xdr:from>
    <xdr:ext cx="523875" cy="5238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J38"/>
  <sheetViews>
    <sheetView tabSelected="1" workbookViewId="0" showGridLines="true" showRowColHeaders="1">
      <pane ySplit="12" activePane="bottomLeft" state="frozen" topLeftCell="A13"/>
      <selection pane="bottomLeft" activeCell="A35" sqref="A35"/>
    </sheetView>
  </sheetViews>
  <sheetFormatPr defaultRowHeight="14.4" outlineLevelRow="0" outlineLevelCol="0"/>
  <cols>
    <col min="1" max="1" width="5.5" customWidth="true" style="0"/>
    <col min="2" max="2" width="40" customWidth="true" style="0"/>
    <col min="3" max="3" width="6" customWidth="true" style="0"/>
    <col min="4" max="4" width="6" customWidth="true" style="0"/>
    <col min="5" max="5" width="8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</cols>
  <sheetData>
    <row r="1" spans="1:10" customHeight="1" ht="60"/>
    <row r="2" spans="1:10" customHeight="1" ht="22">
      <c r="A2" s="1"/>
    </row>
    <row r="3" spans="1:10" customHeight="1" ht="14">
      <c r="A3" s="2" t="s">
        <v>0</v>
      </c>
    </row>
    <row r="4" spans="1:10" customHeight="1" ht="14">
      <c r="A4" s="2" t="s">
        <v>1</v>
      </c>
    </row>
    <row r="5" spans="1:10" customHeight="1" ht="20">
      <c r="A5" s="3" t="s">
        <v>2</v>
      </c>
    </row>
    <row r="6" spans="1:10" customHeight="1" ht="5"/>
    <row r="7" spans="1:10" customHeight="1" ht="14">
      <c r="A7" s="4" t="s">
        <v>3</v>
      </c>
      <c r="F7" s="5" t="s">
        <v>4</v>
      </c>
    </row>
    <row r="8" spans="1:10" customHeight="1" ht="14">
      <c r="A8" t="s">
        <v>5</v>
      </c>
    </row>
    <row r="9" spans="1:10" customHeight="1" ht="14">
      <c r="A9" t="s">
        <v>6</v>
      </c>
    </row>
    <row r="10" spans="1:10" customHeight="1" ht="5"/>
    <row r="11" spans="1:10" customHeight="1" ht="26">
      <c r="A11" s="6" t="s">
        <v>7</v>
      </c>
      <c r="B11" s="8" t="s">
        <v>8</v>
      </c>
      <c r="C11" s="8" t="s">
        <v>9</v>
      </c>
      <c r="D11" s="7"/>
      <c r="E11" s="7"/>
      <c r="F11" s="6" t="s">
        <v>13</v>
      </c>
      <c r="G11" s="6" t="s">
        <v>14</v>
      </c>
      <c r="H11" s="8" t="s">
        <v>15</v>
      </c>
      <c r="I11" s="6" t="s">
        <v>16</v>
      </c>
      <c r="J11" s="6" t="s">
        <v>17</v>
      </c>
    </row>
    <row r="12" spans="1:10" customHeight="1" ht="14">
      <c r="A12" s="7"/>
      <c r="B12" s="7"/>
      <c r="C12" s="8" t="s">
        <v>10</v>
      </c>
      <c r="D12" s="8" t="s">
        <v>11</v>
      </c>
      <c r="E12" s="8" t="s">
        <v>12</v>
      </c>
      <c r="F12" s="7"/>
      <c r="G12" s="7"/>
      <c r="H12" s="7"/>
      <c r="I12" s="7"/>
      <c r="J12" s="7"/>
    </row>
    <row r="13" spans="1:10" customHeight="1" ht="16">
      <c r="A13" s="9">
        <v>1</v>
      </c>
      <c r="B13" s="7" t="s">
        <v>18</v>
      </c>
      <c r="C13" s="10">
        <v>244</v>
      </c>
      <c r="D13" s="10">
        <v>356</v>
      </c>
      <c r="E13" s="10">
        <f>C13*D13</f>
        <v>86864</v>
      </c>
      <c r="F13" s="10">
        <v>31</v>
      </c>
      <c r="G13" s="11">
        <f>E13*85000</f>
        <v>7383440000</v>
      </c>
      <c r="H13" s="11">
        <v>0.0</v>
      </c>
      <c r="I13" s="11">
        <v>0.0</v>
      </c>
      <c r="J13" s="11">
        <f>G13+H13+I13</f>
        <v>7383440000</v>
      </c>
    </row>
    <row r="14" spans="1:10" customHeight="1" ht="16">
      <c r="A14" s="9">
        <v>2</v>
      </c>
      <c r="B14" s="7" t="s">
        <v>19</v>
      </c>
      <c r="C14" s="10">
        <v>876</v>
      </c>
      <c r="D14" s="10">
        <v>789</v>
      </c>
      <c r="E14" s="10">
        <f>C14*D14</f>
        <v>691164</v>
      </c>
      <c r="F14" s="10">
        <v>31</v>
      </c>
      <c r="G14" s="11">
        <f>E14*28000</f>
        <v>19352592000</v>
      </c>
      <c r="H14" s="11">
        <v>0.0</v>
      </c>
      <c r="I14" s="11">
        <v>0.0</v>
      </c>
      <c r="J14" s="11">
        <f>G14+H14+I14</f>
        <v>19352592000</v>
      </c>
    </row>
    <row r="15" spans="1:10" customHeight="1" ht="16">
      <c r="A15" s="9">
        <v>3</v>
      </c>
      <c r="B15" s="7" t="s">
        <v>20</v>
      </c>
      <c r="C15" s="10">
        <v>20</v>
      </c>
      <c r="D15" s="10">
        <v>20</v>
      </c>
      <c r="E15" s="10">
        <f>C15*D15</f>
        <v>400</v>
      </c>
      <c r="F15" s="10">
        <v>31</v>
      </c>
      <c r="G15" s="11">
        <f>E15*20</f>
        <v>8000</v>
      </c>
      <c r="H15" s="11">
        <v>0.0</v>
      </c>
      <c r="I15" s="11">
        <v>0.0</v>
      </c>
      <c r="J15" s="11">
        <f>G15+H15+I15</f>
        <v>8000</v>
      </c>
    </row>
    <row r="16" spans="1:10" customHeight="1" ht="16">
      <c r="A16" s="15" t="s">
        <v>21</v>
      </c>
      <c r="B16" s="16"/>
      <c r="C16" s="16"/>
      <c r="D16" s="16"/>
      <c r="E16" s="16"/>
      <c r="F16" s="16"/>
      <c r="G16" s="16"/>
      <c r="H16" s="16"/>
      <c r="I16" s="16"/>
      <c r="J16" s="17">
        <f>SUM(J13:J15)</f>
        <v>26736040000</v>
      </c>
    </row>
    <row r="17" spans="1:10" customHeight="1" ht="16">
      <c r="A17" s="12" t="s">
        <v>22</v>
      </c>
      <c r="B17" s="13"/>
      <c r="C17" s="13"/>
      <c r="D17" s="13"/>
      <c r="E17" s="13"/>
      <c r="F17" s="13"/>
      <c r="G17" s="13"/>
      <c r="H17" s="13"/>
      <c r="I17" s="13"/>
      <c r="J17" s="14">
        <f>J16*18/100</f>
        <v>4812487200</v>
      </c>
    </row>
    <row r="18" spans="1:10" customHeight="1" ht="16">
      <c r="A18" s="18" t="s">
        <v>23</v>
      </c>
      <c r="B18" s="19"/>
      <c r="C18" s="19"/>
      <c r="D18" s="19"/>
      <c r="E18" s="19"/>
      <c r="F18" s="19"/>
      <c r="G18" s="19"/>
      <c r="H18" s="19"/>
      <c r="I18" s="19"/>
      <c r="J18" s="20">
        <f>J16+J17</f>
        <v>31548527200</v>
      </c>
    </row>
    <row r="19" spans="1:10" customHeight="1" ht="8"/>
    <row r="20" spans="1:10" customHeight="1" ht="16">
      <c r="A20" s="4" t="s">
        <v>24</v>
      </c>
    </row>
    <row r="21" spans="1:10" customHeight="1" ht="13">
      <c r="A21" s="1">
        <v>1</v>
      </c>
      <c r="B21" s="21" t="s">
        <v>25</v>
      </c>
    </row>
    <row r="22" spans="1:10" customHeight="1" ht="13">
      <c r="A22" s="1">
        <v>2</v>
      </c>
      <c r="B22" s="21" t="s">
        <v>26</v>
      </c>
    </row>
    <row r="23" spans="1:10" customHeight="1" ht="13">
      <c r="A23" s="1">
        <v>3</v>
      </c>
      <c r="B23" s="21" t="s">
        <v>27</v>
      </c>
    </row>
    <row r="24" spans="1:10" customHeight="1" ht="13">
      <c r="A24" s="1">
        <v>4</v>
      </c>
      <c r="B24" s="21" t="s">
        <v>28</v>
      </c>
    </row>
    <row r="25" spans="1:10" customHeight="1" ht="13">
      <c r="A25" s="1">
        <v>5</v>
      </c>
      <c r="B25" s="21" t="s">
        <v>29</v>
      </c>
    </row>
    <row r="26" spans="1:10" customHeight="1" ht="13">
      <c r="A26" s="1">
        <v>6</v>
      </c>
      <c r="B26" s="21" t="s">
        <v>30</v>
      </c>
    </row>
    <row r="27" spans="1:10" customHeight="1" ht="13">
      <c r="A27" s="1">
        <v>7</v>
      </c>
      <c r="B27" s="21" t="s">
        <v>31</v>
      </c>
    </row>
    <row r="28" spans="1:10" customHeight="1" ht="13">
      <c r="A28" s="1">
        <v>8</v>
      </c>
      <c r="B28" s="21" t="s">
        <v>32</v>
      </c>
    </row>
    <row r="29" spans="1:10" customHeight="1" ht="13">
      <c r="A29" s="1">
        <v>9</v>
      </c>
      <c r="B29" s="21" t="s">
        <v>33</v>
      </c>
    </row>
    <row r="30" spans="1:10" customHeight="1" ht="13">
      <c r="A30" s="1">
        <v>10</v>
      </c>
      <c r="B30" s="21" t="s">
        <v>34</v>
      </c>
    </row>
    <row r="31" spans="1:10" customHeight="1" ht="8"/>
    <row r="32" spans="1:10" customHeight="1" ht="30">
      <c r="A32" s="21" t="s">
        <v>35</v>
      </c>
    </row>
    <row r="34" spans="1:10" customHeight="1" ht="14">
      <c r="A34" t="s">
        <v>36</v>
      </c>
    </row>
    <row r="35" spans="1:10" customHeight="1" ht="14">
      <c r="A35" s="22" t="s">
        <v>37</v>
      </c>
    </row>
    <row r="36" spans="1:10" customHeight="1" ht="13">
      <c r="A36" t="s">
        <v>38</v>
      </c>
    </row>
    <row r="37" spans="1:10" customHeight="1" ht="13">
      <c r="A37">
        <v>9850760739</v>
      </c>
    </row>
    <row r="38" spans="1:10" customHeight="1" ht="13">
      <c r="A38">
        <v>7588025403</v>
      </c>
    </row>
  </sheetData>
  <mergeCells>
    <mergeCell ref="A1:J1"/>
    <mergeCell ref="A2:J2"/>
    <mergeCell ref="A3:J3"/>
    <mergeCell ref="A4:J4"/>
    <mergeCell ref="A5:J5"/>
    <mergeCell ref="A7:E7"/>
    <mergeCell ref="F7:J7"/>
    <mergeCell ref="A8:J8"/>
    <mergeCell ref="A9:J9"/>
    <mergeCell ref="A11:A12"/>
    <mergeCell ref="B11:B12"/>
    <mergeCell ref="C11:E11"/>
    <mergeCell ref="G11:G12"/>
    <mergeCell ref="H11:H12"/>
    <mergeCell ref="I11:I12"/>
    <mergeCell ref="J11:J12"/>
    <mergeCell ref="A16:I16"/>
    <mergeCell ref="A17:I17"/>
    <mergeCell ref="A18:I18"/>
    <mergeCell ref="A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A32:I32"/>
    <mergeCell ref="A34:E34"/>
    <mergeCell ref="A35:E35"/>
    <mergeCell ref="A36:E36"/>
    <mergeCell ref="A37:E37"/>
    <mergeCell ref="A38:E38"/>
  </mergeCells>
  <printOptions gridLines="false" gridLinesSet="true"/>
  <pageMargins left="0.4" right="0.4" top="0.4" bottom="0.4" header="0.3" footer="0.3"/>
  <pageSetup paperSize="9" orientation="defaul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2026-02-23T13:23:45+00:00</dcterms:created>
  <dcterms:modified xsi:type="dcterms:W3CDTF">2026-02-23T13:23:45+00:00</dcterms:modified>
  <dc:title>Untitled Spreadsheet</dc:title>
  <dc:description/>
  <dc:subject/>
  <cp:keywords/>
  <cp:category/>
</cp:coreProperties>
</file>